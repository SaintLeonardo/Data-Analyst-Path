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OneDrive\Documentos\Data_Analyst_Path\Data Analyst Path\Excel\"/>
    </mc:Choice>
  </mc:AlternateContent>
  <xr:revisionPtr revIDLastSave="0" documentId="8_{4ED5ADFF-0F51-4BD0-A31F-0B16067530D4}" xr6:coauthVersionLast="47" xr6:coauthVersionMax="47" xr10:uidLastSave="{00000000-0000-0000-0000-000000000000}"/>
  <bookViews>
    <workbookView xWindow="-120" yWindow="-120" windowWidth="29040" windowHeight="15720" firstSheet="1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6" i="13"/>
  <c r="J3" i="13"/>
  <c r="J4" i="13"/>
  <c r="J5" i="13"/>
  <c r="J7" i="13"/>
  <c r="J8" i="13"/>
  <c r="J9" i="13"/>
  <c r="J10" i="13"/>
  <c r="J2" i="13"/>
  <c r="L2" i="5"/>
  <c r="K2" i="5"/>
  <c r="J2" i="5"/>
  <c r="L2" i="12"/>
  <c r="K2" i="12"/>
  <c r="K3" i="7"/>
  <c r="K4" i="7"/>
  <c r="K5" i="7"/>
  <c r="K6" i="7"/>
  <c r="K7" i="7"/>
  <c r="K8" i="7"/>
  <c r="K9" i="7"/>
  <c r="K10" i="7"/>
  <c r="K2" i="7"/>
  <c r="J3" i="7"/>
  <c r="J4" i="7"/>
  <c r="J5" i="7"/>
  <c r="J6" i="7"/>
  <c r="J7" i="7"/>
  <c r="J8" i="7"/>
  <c r="J9" i="7"/>
  <c r="J10" i="7"/>
  <c r="J2" i="7"/>
  <c r="L3" i="7"/>
  <c r="L4" i="7"/>
  <c r="L5" i="7"/>
  <c r="L6" i="7"/>
  <c r="L7" i="7"/>
  <c r="L8" i="7"/>
  <c r="L9" i="7"/>
  <c r="L10" i="7"/>
  <c r="L2" i="7"/>
  <c r="J3" i="1"/>
  <c r="J4" i="1"/>
  <c r="J5" i="1"/>
  <c r="J6" i="1"/>
  <c r="J7" i="1"/>
  <c r="J8" i="1"/>
  <c r="J9" i="1"/>
  <c r="J10" i="1"/>
  <c r="J2" i="1"/>
  <c r="J3" i="6"/>
  <c r="J4" i="6"/>
  <c r="J5" i="6"/>
  <c r="J6" i="6"/>
  <c r="J7" i="6"/>
  <c r="J8" i="6"/>
  <c r="J9" i="6"/>
  <c r="J10" i="6"/>
  <c r="J2" i="6"/>
  <c r="J2" i="3"/>
  <c r="J3" i="3"/>
  <c r="J4" i="3"/>
  <c r="J5" i="3"/>
  <c r="J6" i="3"/>
  <c r="J7" i="3"/>
  <c r="J8" i="3"/>
  <c r="J9" i="3"/>
  <c r="J10" i="3"/>
  <c r="M3" i="4"/>
  <c r="M4" i="4"/>
  <c r="M5" i="4"/>
  <c r="M6" i="4"/>
  <c r="M7" i="4"/>
  <c r="M8" i="4"/>
  <c r="M9" i="4"/>
  <c r="M10" i="4"/>
  <c r="M2" i="4"/>
  <c r="L3" i="4"/>
  <c r="L4" i="4"/>
  <c r="L5" i="4"/>
  <c r="L6" i="4"/>
  <c r="L7" i="4"/>
  <c r="L8" i="4"/>
  <c r="L9" i="4"/>
  <c r="L10" i="4"/>
  <c r="L2" i="4"/>
  <c r="K3" i="4"/>
  <c r="K4" i="4"/>
  <c r="K5" i="4"/>
  <c r="K6" i="4"/>
  <c r="K7" i="4"/>
  <c r="K8" i="4"/>
  <c r="K9" i="4"/>
  <c r="K10" i="4"/>
  <c r="K2" i="4"/>
  <c r="J3" i="2"/>
  <c r="J4" i="2"/>
  <c r="J5" i="2"/>
  <c r="J6" i="2"/>
  <c r="J7" i="2"/>
  <c r="J8" i="2"/>
  <c r="J9" i="2"/>
  <c r="J10" i="2"/>
  <c r="J2" i="2"/>
  <c r="J3" i="8"/>
  <c r="J4" i="8"/>
  <c r="J5" i="8"/>
  <c r="J6" i="8"/>
  <c r="J7" i="8"/>
  <c r="J8" i="8"/>
  <c r="J9" i="8"/>
  <c r="J10" i="8"/>
  <c r="J2" i="8"/>
  <c r="K3" i="9"/>
  <c r="J3" i="9"/>
  <c r="K2" i="9"/>
  <c r="J2" i="9"/>
  <c r="H11" i="1"/>
  <c r="H12" i="1"/>
</calcChain>
</file>

<file path=xl/sharedStrings.xml><?xml version="1.0" encoding="utf-8"?>
<sst xmlns="http://schemas.openxmlformats.org/spreadsheetml/2006/main" count="587" uniqueCount="94">
  <si>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</si>
  <si>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</si>
  <si>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</si>
  <si>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</si>
  <si>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</si>
  <si>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</si>
  <si>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</si>
  <si>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</si>
  <si>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</si>
  <si>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</si>
  <si>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</si>
  <si>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</si>
  <si>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</si>
  <si>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</si>
  <si>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</si>
  <si>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</si>
  <si>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</si>
  <si>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</si>
  <si>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</si>
  <si>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</si>
  <si>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</si>
  <si>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</si>
  <si>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</si>
  <si>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</si>
  <si>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</si>
  <si>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</si>
  <si>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</si>
  <si>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</si>
  <si>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</si>
  <si>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</si>
  <si>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</si>
  <si>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</si>
  <si>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</si>
  <si>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</si>
  <si>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</si>
  <si>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</si>
  <si>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</si>
  <si>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</si>
  <si>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</si>
  <si>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</si>
  <si>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</si>
  <si>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</si>
  <si>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</si>
  <si>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</si>
  <si>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</si>
  <si>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</si>
  <si>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</si>
  <si>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</si>
  <si>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</si>
  <si>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</si>
  <si>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</si>
  <si>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</si>
  <si>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</si>
  <si>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</si>
  <si>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</si>
  <si>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</si>
  <si>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</si>
  <si>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</si>
  <si>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</si>
  <si>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</si>
  <si>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</si>
  <si>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</si>
  <si>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</si>
  <si>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</si>
  <si>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</si>
  <si>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</si>
  <si>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</si>
  <si>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</si>
  <si>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</si>
  <si>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</si>
  <si>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</si>
  <si>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</si>
  <si>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</si>
  <si>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</si>
  <si>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</si>
  <si>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</si>
  <si>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</si>
  <si>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</si>
  <si>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</si>
  <si>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</si>
  <si>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</si>
  <si>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</si>
  <si>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</si>
  <si>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</si>
  <si>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</si>
  <si>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</si>
  <si>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</si>
  <si>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</si>
  <si>
    <t>Max = The most recent event on Dates</t>
  </si>
  <si>
    <t>Min = The oldest date available on Dates</t>
  </si>
  <si>
    <t>And the lowest value when treating numbers.</t>
  </si>
  <si>
    <t>And the highest value when treating numbers.</t>
  </si>
  <si>
    <t>5-6/2001</t>
  </si>
  <si>
    <t>1-8/2003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</si>
</sst>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L10"/>
  <sheetViews>
    <sheetView workbookViewId="0">
      <selection activeCell="L11" sqref="L11"/>
    </sheetView>
  </sheetViews>
  <sheetFormatPr defaultColWidth="13.7109375" defaultRowHeight="15" x14ac:dyDescent="0.25"/>
  <cols>
    <col min="1" max="1" width="10.7109375" style="4" bestFit="1" customWidth="1"/>
    <col min="2" max="3" width="13.7109375" style="4"/>
    <col min="4" max="4" width="7.7109375" style="4" customWidth="1"/>
    <col min="5" max="11" width="13.7109375" style="4"/>
    <col min="12" max="12" width="43.140625" customWidth="1"/>
  </cols>
  <sheetData>
    <row r="1" spans="1:12" x14ac:dyDescent="0.25">
      <c r="A1" s="4" t="s">
        <v>20</v>
      </c>
      <c r="B1" s="4" t="s">
        <v>0</v>
      </c>
      <c r="C1" s="4" t="s">
        <v>1</v>
      </c>
      <c r="D1" s="4" t="s">
        <v>23</v>
      </c>
      <c r="E1" s="4" t="s">
        <v>24</v>
      </c>
      <c r="F1" s="4" t="s">
        <v>21</v>
      </c>
      <c r="G1" s="4" t="s">
        <v>22</v>
      </c>
      <c r="H1" s="4" t="s">
        <v>36</v>
      </c>
      <c r="I1" s="4" t="s">
        <v>37</v>
      </c>
      <c r="J1" s="8" t="s">
        <v>80</v>
      </c>
      <c r="K1" s="9" t="s">
        <v>81</v>
      </c>
      <c r="L1" s="13" t="s">
        <v>88</v>
      </c>
    </row>
    <row r="2" spans="1:12" x14ac:dyDescent="0.25">
      <c r="A2" s="4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4">
        <v>45000</v>
      </c>
      <c r="H2" s="5">
        <v>37197</v>
      </c>
      <c r="I2" s="5">
        <v>42253</v>
      </c>
      <c r="J2" s="6">
        <f>MAX(H2:H10)</f>
        <v>37933</v>
      </c>
      <c r="K2" s="10">
        <f>MIN(H2:H10)</f>
        <v>35040</v>
      </c>
      <c r="L2" s="14" t="s">
        <v>91</v>
      </c>
    </row>
    <row r="3" spans="1:12" x14ac:dyDescent="0.25">
      <c r="A3" s="4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4">
        <v>36000</v>
      </c>
      <c r="H3" s="5">
        <v>36436</v>
      </c>
      <c r="I3" s="5">
        <v>42287</v>
      </c>
      <c r="J3" s="7">
        <f>MAX(G2:G10)</f>
        <v>65000</v>
      </c>
      <c r="K3" s="11">
        <f>MIN(G2:G10)</f>
        <v>36000</v>
      </c>
      <c r="L3" s="12"/>
    </row>
    <row r="4" spans="1:12" x14ac:dyDescent="0.25">
      <c r="A4" s="4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4">
        <v>63000</v>
      </c>
      <c r="H4" s="5">
        <v>36711</v>
      </c>
      <c r="I4" s="5">
        <v>42986</v>
      </c>
      <c r="L4" s="15" t="s">
        <v>89</v>
      </c>
    </row>
    <row r="5" spans="1:12" x14ac:dyDescent="0.25">
      <c r="A5" s="4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4">
        <v>47000</v>
      </c>
      <c r="H5" s="5">
        <v>36530</v>
      </c>
      <c r="I5" s="5">
        <v>42341</v>
      </c>
      <c r="L5" s="15" t="s">
        <v>90</v>
      </c>
    </row>
    <row r="6" spans="1:12" x14ac:dyDescent="0.25">
      <c r="A6" s="4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4">
        <v>50000</v>
      </c>
      <c r="H6" s="5">
        <v>37017</v>
      </c>
      <c r="I6" s="5">
        <v>42977</v>
      </c>
    </row>
    <row r="7" spans="1:12" x14ac:dyDescent="0.25">
      <c r="A7" s="4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4">
        <v>65000</v>
      </c>
      <c r="H7" s="5">
        <v>35040</v>
      </c>
      <c r="I7" s="5">
        <v>41528</v>
      </c>
    </row>
    <row r="8" spans="1:12" x14ac:dyDescent="0.25">
      <c r="A8" s="4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4">
        <v>41000</v>
      </c>
      <c r="H8" s="5">
        <v>37933</v>
      </c>
      <c r="I8" s="5">
        <v>41551</v>
      </c>
    </row>
    <row r="9" spans="1:12" x14ac:dyDescent="0.25">
      <c r="A9" s="4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4">
        <v>48000</v>
      </c>
      <c r="H9" s="5">
        <v>37416</v>
      </c>
      <c r="I9" s="5">
        <v>42116</v>
      </c>
    </row>
    <row r="10" spans="1:12" x14ac:dyDescent="0.25">
      <c r="A10" s="4">
        <v>1009</v>
      </c>
      <c r="B10" s="4" t="s">
        <v>10</v>
      </c>
      <c r="C10" s="4" t="s">
        <v>11</v>
      </c>
      <c r="D10" s="4">
        <v>31</v>
      </c>
      <c r="E10" s="4" t="s">
        <v>26</v>
      </c>
      <c r="F10" s="4" t="s">
        <v>29</v>
      </c>
      <c r="G10" s="4">
        <v>42000</v>
      </c>
      <c r="H10" s="5">
        <v>37843</v>
      </c>
      <c r="I10" s="5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M5" sqref="M5"/>
    </sheetView>
  </sheetViews>
  <sheetFormatPr defaultColWidth="13.7109375" defaultRowHeight="15" x14ac:dyDescent="0.25"/>
  <cols>
    <col min="1" max="1" width="10.7109375" style="4" bestFit="1" customWidth="1"/>
    <col min="2" max="3" width="13.7109375" style="4"/>
    <col min="4" max="4" width="7.7109375" style="4" customWidth="1"/>
    <col min="5" max="10" width="13.7109375" style="4"/>
    <col min="11" max="11" width="18.85546875" style="4" customWidth="1"/>
  </cols>
  <sheetData>
    <row r="1" spans="1:11" x14ac:dyDescent="0.25">
      <c r="A1" s="4" t="s">
        <v>20</v>
      </c>
      <c r="B1" s="4" t="s">
        <v>0</v>
      </c>
      <c r="C1" s="4" t="s">
        <v>1</v>
      </c>
      <c r="D1" s="4" t="s">
        <v>23</v>
      </c>
      <c r="E1" s="4" t="s">
        <v>24</v>
      </c>
      <c r="F1" s="4" t="s">
        <v>21</v>
      </c>
      <c r="G1" s="4" t="s">
        <v>22</v>
      </c>
      <c r="H1" s="4" t="s">
        <v>36</v>
      </c>
      <c r="I1" s="4" t="s">
        <v>37</v>
      </c>
      <c r="J1" s="4" t="s">
        <v>82</v>
      </c>
      <c r="K1" s="4" t="s">
        <v>83</v>
      </c>
    </row>
    <row r="2" spans="1:11" x14ac:dyDescent="0.25">
      <c r="A2" s="4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4">
        <v>45000</v>
      </c>
      <c r="H2" s="5">
        <v>37197</v>
      </c>
      <c r="I2" s="5">
        <v>42253</v>
      </c>
      <c r="J2" s="4" t="str">
        <f>IF(D2:D10&gt;30,"Old","Young")</f>
        <v>Young</v>
      </c>
    </row>
    <row r="3" spans="1:11" x14ac:dyDescent="0.25">
      <c r="A3" s="4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4">
        <v>36000</v>
      </c>
      <c r="H3" s="5">
        <v>36436</v>
      </c>
      <c r="I3" s="5">
        <v>42287</v>
      </c>
      <c r="J3" s="4" t="str">
        <f t="shared" ref="J3:J10" si="0">IF(D3:D11&gt;30,"Old","Young")</f>
        <v>Young</v>
      </c>
    </row>
    <row r="4" spans="1:11" x14ac:dyDescent="0.25">
      <c r="A4" s="4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4">
        <v>63000</v>
      </c>
      <c r="H4" s="5">
        <v>36711</v>
      </c>
      <c r="I4" s="5">
        <v>42986</v>
      </c>
      <c r="J4" s="4" t="str">
        <f t="shared" si="0"/>
        <v>Young</v>
      </c>
    </row>
    <row r="5" spans="1:11" x14ac:dyDescent="0.25">
      <c r="A5" s="4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4">
        <v>47000</v>
      </c>
      <c r="H5" s="5">
        <v>36530</v>
      </c>
      <c r="I5" s="5">
        <v>42341</v>
      </c>
      <c r="J5" s="4" t="str">
        <f t="shared" si="0"/>
        <v>Old</v>
      </c>
    </row>
    <row r="6" spans="1:11" x14ac:dyDescent="0.25">
      <c r="A6" s="4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4">
        <v>50000</v>
      </c>
      <c r="H6" s="5">
        <v>37017</v>
      </c>
      <c r="I6" s="5">
        <v>42977</v>
      </c>
      <c r="J6" s="4" t="str">
        <f t="shared" si="0"/>
        <v>Old</v>
      </c>
    </row>
    <row r="7" spans="1:11" x14ac:dyDescent="0.25">
      <c r="A7" s="4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4">
        <v>65000</v>
      </c>
      <c r="H7" s="5">
        <v>35040</v>
      </c>
      <c r="I7" s="5">
        <v>41528</v>
      </c>
      <c r="J7" s="4" t="str">
        <f t="shared" si="0"/>
        <v>Old</v>
      </c>
    </row>
    <row r="8" spans="1:11" x14ac:dyDescent="0.25">
      <c r="A8" s="4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4">
        <v>41000</v>
      </c>
      <c r="H8" s="5">
        <v>37933</v>
      </c>
      <c r="I8" s="5">
        <v>41551</v>
      </c>
      <c r="J8" s="4" t="str">
        <f t="shared" si="0"/>
        <v>Old</v>
      </c>
    </row>
    <row r="9" spans="1:11" x14ac:dyDescent="0.25">
      <c r="A9" s="4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4">
        <v>48000</v>
      </c>
      <c r="H9" s="5">
        <v>37416</v>
      </c>
      <c r="I9" s="5">
        <v>42116</v>
      </c>
      <c r="J9" s="4" t="str">
        <f t="shared" si="0"/>
        <v>Old</v>
      </c>
    </row>
    <row r="10" spans="1:11" x14ac:dyDescent="0.25">
      <c r="A10" s="4">
        <v>1009</v>
      </c>
      <c r="B10" s="4" t="s">
        <v>10</v>
      </c>
      <c r="C10" s="4" t="s">
        <v>11</v>
      </c>
      <c r="D10" s="4">
        <v>31</v>
      </c>
      <c r="E10" s="4" t="s">
        <v>26</v>
      </c>
      <c r="F10" s="4" t="s">
        <v>29</v>
      </c>
      <c r="G10" s="4">
        <v>42000</v>
      </c>
      <c r="H10" s="5">
        <v>37843</v>
      </c>
      <c r="I10" s="5">
        <v>40800</v>
      </c>
      <c r="J10" s="4" t="str">
        <f t="shared" si="0"/>
        <v>Old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M5" sqref="M5"/>
    </sheetView>
  </sheetViews>
  <sheetFormatPr defaultColWidth="10.85546875" defaultRowHeight="15" x14ac:dyDescent="0.25"/>
  <cols>
    <col min="1" max="1" width="10.7109375" style="4" bestFit="1" customWidth="1"/>
    <col min="2" max="5" width="10.85546875" style="4"/>
    <col min="6" max="6" width="16" style="4" customWidth="1"/>
    <col min="7" max="10" width="10.85546875" style="4"/>
  </cols>
  <sheetData>
    <row r="1" spans="1:12" x14ac:dyDescent="0.25">
      <c r="A1" s="4" t="s">
        <v>20</v>
      </c>
      <c r="B1" s="4" t="s">
        <v>0</v>
      </c>
      <c r="C1" s="4" t="s">
        <v>1</v>
      </c>
      <c r="D1" s="4" t="s">
        <v>23</v>
      </c>
      <c r="E1" s="4" t="s">
        <v>24</v>
      </c>
      <c r="F1" s="4" t="s">
        <v>21</v>
      </c>
      <c r="G1" s="4" t="s">
        <v>22</v>
      </c>
      <c r="H1" s="4" t="s">
        <v>36</v>
      </c>
      <c r="I1" s="4" t="s">
        <v>37</v>
      </c>
      <c r="J1" s="4" t="s">
        <v>19</v>
      </c>
      <c r="L1" t="s">
        <v>35</v>
      </c>
    </row>
    <row r="2" spans="1:12" x14ac:dyDescent="0.25">
      <c r="A2" s="4">
        <v>1001</v>
      </c>
      <c r="B2" s="4" t="s">
        <v>2</v>
      </c>
      <c r="C2" s="4" t="s">
        <v>3</v>
      </c>
      <c r="D2" s="4">
        <v>30</v>
      </c>
      <c r="E2" s="4" t="s">
        <v>26</v>
      </c>
      <c r="F2" s="4" t="s">
        <v>25</v>
      </c>
      <c r="G2" s="4">
        <v>45000</v>
      </c>
      <c r="H2" s="5">
        <v>37197</v>
      </c>
      <c r="I2" s="5">
        <v>42253</v>
      </c>
      <c r="J2" s="4">
        <f>LEN(C2:C10)</f>
        <v>7</v>
      </c>
    </row>
    <row r="3" spans="1:12" x14ac:dyDescent="0.25">
      <c r="A3" s="4">
        <v>1002</v>
      </c>
      <c r="B3" s="4" t="s">
        <v>4</v>
      </c>
      <c r="C3" s="4" t="s">
        <v>5</v>
      </c>
      <c r="D3" s="4">
        <v>30</v>
      </c>
      <c r="E3" s="4" t="s">
        <v>28</v>
      </c>
      <c r="F3" s="4" t="s">
        <v>27</v>
      </c>
      <c r="G3" s="4">
        <v>36000</v>
      </c>
      <c r="H3" s="5">
        <v>36436</v>
      </c>
      <c r="I3" s="5">
        <v>42287</v>
      </c>
      <c r="J3" s="4">
        <f t="shared" ref="J3:J10" si="0">LEN(C3:C11)</f>
        <v>7</v>
      </c>
    </row>
    <row r="4" spans="1:12" x14ac:dyDescent="0.25">
      <c r="A4" s="4">
        <v>1003</v>
      </c>
      <c r="B4" s="4" t="s">
        <v>6</v>
      </c>
      <c r="C4" s="4" t="s">
        <v>7</v>
      </c>
      <c r="D4" s="4">
        <v>29</v>
      </c>
      <c r="E4" s="4" t="s">
        <v>26</v>
      </c>
      <c r="F4" s="4" t="s">
        <v>25</v>
      </c>
      <c r="G4" s="4">
        <v>63000</v>
      </c>
      <c r="H4" s="5">
        <v>36711</v>
      </c>
      <c r="I4" s="5">
        <v>42986</v>
      </c>
      <c r="J4" s="4">
        <f t="shared" si="0"/>
        <v>7</v>
      </c>
    </row>
    <row r="5" spans="1:12" x14ac:dyDescent="0.25">
      <c r="A5" s="4">
        <v>1004</v>
      </c>
      <c r="B5" s="4" t="s">
        <v>13</v>
      </c>
      <c r="C5" s="4" t="s">
        <v>12</v>
      </c>
      <c r="D5" s="4">
        <v>31</v>
      </c>
      <c r="E5" s="4" t="s">
        <v>28</v>
      </c>
      <c r="F5" s="4" t="s">
        <v>29</v>
      </c>
      <c r="G5" s="4">
        <v>47000</v>
      </c>
      <c r="H5" s="5">
        <v>36530</v>
      </c>
      <c r="I5" s="5">
        <v>42341</v>
      </c>
      <c r="J5" s="4">
        <f t="shared" si="0"/>
        <v>6</v>
      </c>
    </row>
    <row r="6" spans="1:12" x14ac:dyDescent="0.25">
      <c r="A6" s="4">
        <v>1005</v>
      </c>
      <c r="B6" s="4" t="s">
        <v>14</v>
      </c>
      <c r="C6" s="4" t="s">
        <v>15</v>
      </c>
      <c r="D6" s="4">
        <v>32</v>
      </c>
      <c r="E6" s="4" t="s">
        <v>26</v>
      </c>
      <c r="F6" s="4" t="s">
        <v>30</v>
      </c>
      <c r="G6" s="4">
        <v>50000</v>
      </c>
      <c r="H6" s="5">
        <v>37017</v>
      </c>
      <c r="I6" s="5">
        <v>42977</v>
      </c>
      <c r="J6" s="4">
        <f t="shared" si="0"/>
        <v>10</v>
      </c>
    </row>
    <row r="7" spans="1:12" x14ac:dyDescent="0.25">
      <c r="A7" s="4">
        <v>1006</v>
      </c>
      <c r="B7" s="4" t="s">
        <v>8</v>
      </c>
      <c r="C7" s="4" t="s">
        <v>9</v>
      </c>
      <c r="D7" s="4">
        <v>35</v>
      </c>
      <c r="E7" s="4" t="s">
        <v>26</v>
      </c>
      <c r="F7" s="4" t="s">
        <v>31</v>
      </c>
      <c r="G7" s="4">
        <v>65000</v>
      </c>
      <c r="H7" s="5">
        <v>35040</v>
      </c>
      <c r="I7" s="5">
        <v>41528</v>
      </c>
      <c r="J7" s="4">
        <f t="shared" si="0"/>
        <v>5</v>
      </c>
    </row>
    <row r="8" spans="1:12" x14ac:dyDescent="0.25">
      <c r="A8" s="4">
        <v>1007</v>
      </c>
      <c r="B8" s="4" t="s">
        <v>33</v>
      </c>
      <c r="C8" s="4" t="s">
        <v>34</v>
      </c>
      <c r="D8" s="4">
        <v>32</v>
      </c>
      <c r="E8" s="4" t="s">
        <v>28</v>
      </c>
      <c r="F8" s="4" t="s">
        <v>32</v>
      </c>
      <c r="G8" s="4">
        <v>41000</v>
      </c>
      <c r="H8" s="5">
        <v>37933</v>
      </c>
      <c r="I8" s="5">
        <v>41551</v>
      </c>
      <c r="J8" s="4">
        <f t="shared" si="0"/>
        <v>6</v>
      </c>
    </row>
    <row r="9" spans="1:12" x14ac:dyDescent="0.25">
      <c r="A9" s="4">
        <v>1008</v>
      </c>
      <c r="B9" s="4" t="s">
        <v>16</v>
      </c>
      <c r="C9" s="4" t="s">
        <v>17</v>
      </c>
      <c r="D9" s="4">
        <v>38</v>
      </c>
      <c r="E9" s="4" t="s">
        <v>26</v>
      </c>
      <c r="F9" s="4" t="s">
        <v>25</v>
      </c>
      <c r="G9" s="4">
        <v>48000</v>
      </c>
      <c r="H9" s="5">
        <v>37416</v>
      </c>
      <c r="I9" s="5">
        <v>42116</v>
      </c>
      <c r="J9" s="4">
        <f t="shared" si="0"/>
        <v>6</v>
      </c>
    </row>
    <row r="10" spans="1:12" x14ac:dyDescent="0.25">
      <c r="A10" s="4">
        <v>1009</v>
      </c>
      <c r="B10" s="4" t="s">
        <v>10</v>
      </c>
      <c r="C10" s="4" t="s">
        <v>11</v>
      </c>
      <c r="D10" s="4">
        <v>31</v>
      </c>
      <c r="E10" s="4" t="s">
        <v>26</v>
      </c>
      <c r="F10" s="4" t="s">
        <v>29</v>
      </c>
      <c r="G10" s="4">
        <v>42000</v>
      </c>
      <c r="H10" s="5">
        <v>37843</v>
      </c>
      <c r="I10" s="5">
        <v>40800</v>
      </c>
      <c r="J10" s="4">
        <f t="shared" si="0"/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M15" sqref="M15"/>
    </sheetView>
  </sheetViews>
  <sheetFormatPr defaultColWidth="14.5703125" defaultRowHeight="15" x14ac:dyDescent="0.25"/>
  <cols>
    <col min="4" max="4" width="8" customWidth="1"/>
    <col min="10" max="10" width="4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3" t="s">
        <v>48</v>
      </c>
      <c r="I2" s="3" t="s">
        <v>56</v>
      </c>
      <c r="J2" s="1" t="s">
        <v>39</v>
      </c>
      <c r="K2" t="str">
        <f>LEFT(B2:B10,3)</f>
        <v>Jim</v>
      </c>
      <c r="L2" t="str">
        <f>RIGHT(A2:A10,2)</f>
        <v>01</v>
      </c>
      <c r="M2" t="str">
        <f>RIGHT(H2:H10,4)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3" t="s">
        <v>49</v>
      </c>
      <c r="I3" s="3" t="s">
        <v>57</v>
      </c>
      <c r="J3" s="1" t="s">
        <v>40</v>
      </c>
      <c r="K3" t="str">
        <f t="shared" ref="K3:K10" si="0">LEFT(B3:B11,3)</f>
        <v>Pam</v>
      </c>
      <c r="L3" t="str">
        <f t="shared" ref="L3:L10" si="1">RIGHT(A3:A11,2)</f>
        <v>02</v>
      </c>
      <c r="M3" t="str">
        <f t="shared" ref="M3:M10" si="2">RIGHT(H3:H11,4)</f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3" t="s">
        <v>50</v>
      </c>
      <c r="I4" s="3" t="s">
        <v>58</v>
      </c>
      <c r="J4" s="1" t="s">
        <v>41</v>
      </c>
      <c r="K4" t="str">
        <f t="shared" si="0"/>
        <v>Dwi</v>
      </c>
      <c r="L4" t="str">
        <f t="shared" si="1"/>
        <v>03</v>
      </c>
      <c r="M4" t="str">
        <f t="shared" si="2"/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3" t="s">
        <v>51</v>
      </c>
      <c r="I5" s="3" t="s">
        <v>59</v>
      </c>
      <c r="J5" s="1" t="s">
        <v>42</v>
      </c>
      <c r="K5" t="str">
        <f t="shared" si="0"/>
        <v>Ang</v>
      </c>
      <c r="L5" t="str">
        <f t="shared" si="1"/>
        <v>04</v>
      </c>
      <c r="M5" t="str">
        <f t="shared" si="2"/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3" t="s">
        <v>52</v>
      </c>
      <c r="I6" s="3" t="s">
        <v>60</v>
      </c>
      <c r="J6" s="1" t="s">
        <v>43</v>
      </c>
      <c r="K6" t="str">
        <f t="shared" si="0"/>
        <v>Tob</v>
      </c>
      <c r="L6" t="str">
        <f t="shared" si="1"/>
        <v>05</v>
      </c>
      <c r="M6" t="str">
        <f t="shared" si="2"/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3" t="s">
        <v>52</v>
      </c>
      <c r="I7" s="3" t="s">
        <v>61</v>
      </c>
      <c r="J7" s="1" t="s">
        <v>44</v>
      </c>
      <c r="K7" t="str">
        <f t="shared" si="0"/>
        <v>Mic</v>
      </c>
      <c r="L7" t="str">
        <f t="shared" si="1"/>
        <v>06</v>
      </c>
      <c r="M7" t="str">
        <f t="shared" si="2"/>
        <v>2001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3" t="s">
        <v>53</v>
      </c>
      <c r="I8" s="3" t="s">
        <v>61</v>
      </c>
      <c r="J8" s="1" t="s">
        <v>45</v>
      </c>
      <c r="K8" t="str">
        <f t="shared" si="0"/>
        <v>Mer</v>
      </c>
      <c r="L8" t="str">
        <f t="shared" si="1"/>
        <v>07</v>
      </c>
      <c r="M8" t="str">
        <f t="shared" si="2"/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3" t="s">
        <v>54</v>
      </c>
      <c r="I9" s="3" t="s">
        <v>62</v>
      </c>
      <c r="J9" s="1" t="s">
        <v>46</v>
      </c>
      <c r="K9" t="str">
        <f t="shared" si="0"/>
        <v>Sta</v>
      </c>
      <c r="L9" t="str">
        <f t="shared" si="1"/>
        <v>08</v>
      </c>
      <c r="M9" t="str">
        <f t="shared" si="2"/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3" t="s">
        <v>55</v>
      </c>
      <c r="I10" s="3" t="s">
        <v>62</v>
      </c>
      <c r="J10" s="1" t="s">
        <v>47</v>
      </c>
      <c r="K10" t="str">
        <f t="shared" si="0"/>
        <v>Kev</v>
      </c>
      <c r="L10" t="str">
        <f t="shared" si="1"/>
        <v>09</v>
      </c>
      <c r="M10" t="str">
        <f t="shared" si="2"/>
        <v>2003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TEXT(H2:H10, "dd/mm/yyyy")</f>
        <v>02/11/yyyy</v>
      </c>
      <c r="K2" s="3"/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TEXT(H3:H11,"dd/mm/yyyy")</f>
        <v>03/10/yyyy</v>
      </c>
      <c r="K3" s="3"/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04/07/yyyy</v>
      </c>
      <c r="K4" s="3"/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05/01/yyyy</v>
      </c>
      <c r="K5" s="3"/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06/05/yyyy</v>
      </c>
      <c r="K6" s="3"/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07/12/yyyy</v>
      </c>
      <c r="K7" s="3"/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08/11/yyyy</v>
      </c>
      <c r="K8" s="3"/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09/06/yyyy</v>
      </c>
      <c r="K9" s="3"/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10/08/yyyy</v>
      </c>
      <c r="K10" s="3"/>
    </row>
    <row r="12" spans="1:11" x14ac:dyDescent="0.25">
      <c r="H12" s="1"/>
    </row>
    <row r="13" spans="1:11" x14ac:dyDescent="0.25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K15" sqref="K15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3" t="s">
        <v>2</v>
      </c>
      <c r="C2" s="3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TRIM(C2:C10)</f>
        <v>Halpert</v>
      </c>
    </row>
    <row r="3" spans="1:11" x14ac:dyDescent="0.25">
      <c r="A3">
        <v>1002</v>
      </c>
      <c r="B3" s="3" t="s">
        <v>4</v>
      </c>
      <c r="C3" s="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TRIM(C3:C11)</f>
        <v>Beasley</v>
      </c>
    </row>
    <row r="4" spans="1:11" x14ac:dyDescent="0.25">
      <c r="A4">
        <v>1003</v>
      </c>
      <c r="B4" s="3" t="s">
        <v>6</v>
      </c>
      <c r="C4" s="3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Schrute</v>
      </c>
    </row>
    <row r="5" spans="1:11" x14ac:dyDescent="0.25">
      <c r="A5">
        <v>1004</v>
      </c>
      <c r="B5" s="3" t="s">
        <v>13</v>
      </c>
      <c r="C5" s="3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Martin</v>
      </c>
    </row>
    <row r="6" spans="1:11" x14ac:dyDescent="0.25">
      <c r="A6">
        <v>1005</v>
      </c>
      <c r="B6" s="3" t="s">
        <v>14</v>
      </c>
      <c r="C6" s="3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Flenderson</v>
      </c>
    </row>
    <row r="7" spans="1:11" x14ac:dyDescent="0.25">
      <c r="A7">
        <v>1006</v>
      </c>
      <c r="B7" s="3" t="s">
        <v>8</v>
      </c>
      <c r="C7" s="3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Scott</v>
      </c>
    </row>
    <row r="8" spans="1:11" x14ac:dyDescent="0.25">
      <c r="A8">
        <v>1007</v>
      </c>
      <c r="B8" s="3" t="s">
        <v>33</v>
      </c>
      <c r="C8" s="3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Palmer</v>
      </c>
    </row>
    <row r="9" spans="1:11" x14ac:dyDescent="0.25">
      <c r="A9">
        <v>1008</v>
      </c>
      <c r="B9" s="3" t="s">
        <v>16</v>
      </c>
      <c r="C9" s="3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Hudson</v>
      </c>
    </row>
    <row r="10" spans="1:11" x14ac:dyDescent="0.25">
      <c r="A10">
        <v>1009</v>
      </c>
      <c r="B10" s="3" t="s">
        <v>10</v>
      </c>
      <c r="C10" s="3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workbookViewId="0">
      <selection activeCell="K14" sqref="K14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7" max="7" width="13.7109375" style="2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 t="str">
        <f>SUBSTITUTE(H2:H10,"/","-",1)</f>
        <v>11-2/2001</v>
      </c>
      <c r="K2" t="str">
        <f>SUBSTITUTE(H2:H10,"/","-",2)</f>
        <v>11/2-2001</v>
      </c>
      <c r="L2" t="str">
        <f>SUBSTITUTE(H2:H10,"-","/")</f>
        <v>11/2/2001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 t="str">
        <f t="shared" ref="J3:J10" si="0">SUBSTITUTE(H3:H11,"/","-",1)</f>
        <v>10-3/1999</v>
      </c>
      <c r="K3" t="str">
        <f t="shared" ref="K3:K10" si="1">SUBSTITUTE(H3:H11,"/","-",2)</f>
        <v>10/3-1999</v>
      </c>
      <c r="L3" t="str">
        <f t="shared" ref="L3:L10" si="2">SUBSTITUTE(H3:H11,"-","/")</f>
        <v>10/3/1999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 t="str">
        <f t="shared" si="0"/>
        <v>7-4/2000</v>
      </c>
      <c r="K4" t="str">
        <f t="shared" si="1"/>
        <v>7/4-2000</v>
      </c>
      <c r="L4" t="str">
        <f t="shared" si="2"/>
        <v>7/4/2000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 t="str">
        <f t="shared" si="0"/>
        <v>1-5/2000</v>
      </c>
      <c r="K5" t="str">
        <f t="shared" si="1"/>
        <v>1/5-2000</v>
      </c>
      <c r="L5" t="str">
        <f t="shared" si="2"/>
        <v>1/5/2000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92</v>
      </c>
      <c r="I6" s="3" t="s">
        <v>60</v>
      </c>
      <c r="J6" t="str">
        <f t="shared" si="0"/>
        <v>5-6-2001</v>
      </c>
      <c r="K6" t="str">
        <f t="shared" si="1"/>
        <v>5-6/2001</v>
      </c>
      <c r="L6" t="str">
        <f t="shared" si="2"/>
        <v>5/6/2001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 t="str">
        <f t="shared" si="0"/>
        <v>5-6/2001</v>
      </c>
      <c r="K7" t="str">
        <f t="shared" si="1"/>
        <v>5/6-2001</v>
      </c>
      <c r="L7" t="str">
        <f t="shared" si="2"/>
        <v>5/6/2001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93</v>
      </c>
      <c r="I8" s="3" t="s">
        <v>61</v>
      </c>
      <c r="J8" t="str">
        <f t="shared" si="0"/>
        <v>1-8-2003</v>
      </c>
      <c r="K8" t="str">
        <f t="shared" si="1"/>
        <v>1-8/2003</v>
      </c>
      <c r="L8" t="str">
        <f t="shared" si="2"/>
        <v>1/8/2003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str">
        <f t="shared" si="0"/>
        <v>6-9/2002</v>
      </c>
      <c r="K9" t="str">
        <f t="shared" si="1"/>
        <v>6/9-2002</v>
      </c>
      <c r="L9" t="str">
        <f t="shared" si="2"/>
        <v>6/9/2002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str">
        <f t="shared" si="0"/>
        <v>8-10/2003</v>
      </c>
      <c r="K10" t="str">
        <f t="shared" si="1"/>
        <v>8/10-2003</v>
      </c>
      <c r="L10" t="str">
        <f t="shared" si="2"/>
        <v>8/10/2003</v>
      </c>
    </row>
    <row r="12" spans="1:12" x14ac:dyDescent="0.25">
      <c r="H12" s="3"/>
      <c r="I12" s="3"/>
    </row>
    <row r="13" spans="1:12" x14ac:dyDescent="0.25">
      <c r="H13" s="3"/>
      <c r="I13" s="3"/>
    </row>
    <row r="14" spans="1:12" x14ac:dyDescent="0.25">
      <c r="H14" s="3"/>
      <c r="I14" s="3"/>
    </row>
    <row r="15" spans="1:12" x14ac:dyDescent="0.25">
      <c r="H15" s="3"/>
      <c r="I15" s="3"/>
    </row>
    <row r="16" spans="1:12" x14ac:dyDescent="0.25">
      <c r="H16" s="3"/>
      <c r="I16" s="3"/>
    </row>
    <row r="17" spans="8:9" x14ac:dyDescent="0.25">
      <c r="H17" s="3"/>
      <c r="I17" s="3"/>
    </row>
    <row r="18" spans="8:9" x14ac:dyDescent="0.25">
      <c r="H18" s="3"/>
      <c r="I18" s="3"/>
    </row>
    <row r="19" spans="8:9" x14ac:dyDescent="0.25">
      <c r="H19" s="3"/>
      <c r="I19" s="3"/>
    </row>
    <row r="20" spans="8:9" x14ac:dyDescent="0.25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J12"/>
  <sheetViews>
    <sheetView workbookViewId="0">
      <selection activeCell="L10" sqref="L10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</cols>
  <sheetData>
    <row r="1" spans="1:10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0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>
        <f>CONCATENATE(B2:B10," ",C2:C10)</f>
        <v>Jim Halpert</v>
      </c>
    </row>
    <row r="3" spans="1:10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f t="shared" ref="J3:J10" si="0">CONCATENATE(B3:B11," ",C3:C11)</f>
        <v>Pam Beasley</v>
      </c>
    </row>
    <row r="4" spans="1:10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f t="shared" si="0"/>
        <v>Dwight Schrute</v>
      </c>
    </row>
    <row r="5" spans="1:10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f t="shared" si="0"/>
        <v>Angela Martin</v>
      </c>
    </row>
    <row r="6" spans="1:10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f t="shared" si="0"/>
        <v>Toby Flenderson</v>
      </c>
    </row>
    <row r="7" spans="1:10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f t="shared" si="0"/>
        <v>Michael Scott</v>
      </c>
    </row>
    <row r="8" spans="1:10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f t="shared" si="0"/>
        <v>Meredith Palmer</v>
      </c>
    </row>
    <row r="9" spans="1:10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f t="shared" si="0"/>
        <v>Stanley Hudson</v>
      </c>
    </row>
    <row r="10" spans="1:10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f t="shared" si="0"/>
        <v>Kevin Malone</v>
      </c>
    </row>
    <row r="11" spans="1:10" x14ac:dyDescent="0.25">
      <c r="H11" t="str">
        <f t="shared" ref="H11:H12" si="1">CONCATENATE(B11," ",C11)</f>
        <v xml:space="preserve"> </v>
      </c>
    </row>
    <row r="12" spans="1:10" x14ac:dyDescent="0.25">
      <c r="H12" t="str">
        <f t="shared" si="1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L5" sqref="L5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s="2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 s="2">
        <v>45000</v>
      </c>
      <c r="H2" s="3" t="s">
        <v>48</v>
      </c>
      <c r="I2" s="3" t="s">
        <v>56</v>
      </c>
      <c r="J2">
        <f>_xlfn.DAYS(I2,H2)</f>
        <v>5231</v>
      </c>
      <c r="K2">
        <f>NETWORKDAYS(H2,I2)</f>
        <v>3737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 s="2">
        <v>36000</v>
      </c>
      <c r="H3" s="3" t="s">
        <v>49</v>
      </c>
      <c r="I3" s="3" t="s">
        <v>57</v>
      </c>
      <c r="J3">
        <f t="shared" ref="J3:J10" si="0">_xlfn.DAYS(I3,H3)</f>
        <v>6058</v>
      </c>
      <c r="K3">
        <f t="shared" ref="K3:K10" si="1">NETWORKDAYS(H3,I3)</f>
        <v>4328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 s="2">
        <v>63000</v>
      </c>
      <c r="H4" s="3" t="s">
        <v>50</v>
      </c>
      <c r="I4" s="3" t="s">
        <v>58</v>
      </c>
      <c r="J4">
        <f t="shared" si="0"/>
        <v>6333</v>
      </c>
      <c r="K4">
        <f t="shared" si="1"/>
        <v>4524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 s="2">
        <v>47000</v>
      </c>
      <c r="H5" s="3" t="s">
        <v>51</v>
      </c>
      <c r="I5" s="3" t="s">
        <v>59</v>
      </c>
      <c r="J5">
        <f t="shared" si="0"/>
        <v>5428</v>
      </c>
      <c r="K5">
        <f t="shared" si="1"/>
        <v>3879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 s="2">
        <v>50000</v>
      </c>
      <c r="H6" s="3" t="s">
        <v>52</v>
      </c>
      <c r="I6" s="3" t="s">
        <v>60</v>
      </c>
      <c r="J6" t="e">
        <f>_xlfn.DAYS(I6,H6)</f>
        <v>#VALUE!</v>
      </c>
      <c r="K6" t="e">
        <f t="shared" si="1"/>
        <v>#VALUE!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 s="2">
        <v>65000</v>
      </c>
      <c r="H7" s="3" t="s">
        <v>52</v>
      </c>
      <c r="I7" s="3" t="s">
        <v>61</v>
      </c>
      <c r="J7">
        <f t="shared" si="0"/>
        <v>4540</v>
      </c>
      <c r="K7">
        <f t="shared" si="1"/>
        <v>3244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 s="2">
        <v>41000</v>
      </c>
      <c r="H8" s="3" t="s">
        <v>53</v>
      </c>
      <c r="I8" s="3" t="s">
        <v>61</v>
      </c>
      <c r="J8">
        <f t="shared" si="0"/>
        <v>3743</v>
      </c>
      <c r="K8">
        <f t="shared" si="1"/>
        <v>2675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 s="2">
        <v>48000</v>
      </c>
      <c r="H9" s="3" t="s">
        <v>54</v>
      </c>
      <c r="I9" s="3" t="s">
        <v>62</v>
      </c>
      <c r="J9" t="e">
        <f t="shared" si="0"/>
        <v>#VALUE!</v>
      </c>
      <c r="K9" t="e">
        <f t="shared" si="1"/>
        <v>#VALUE!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 s="2">
        <v>42000</v>
      </c>
      <c r="H10" s="3" t="s">
        <v>55</v>
      </c>
      <c r="I10" s="3" t="s">
        <v>62</v>
      </c>
      <c r="J10" t="e">
        <f t="shared" si="0"/>
        <v>#VALUE!</v>
      </c>
      <c r="K10" t="e">
        <f t="shared" si="1"/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Leonardo Santos Pereira</cp:lastModifiedBy>
  <dcterms:created xsi:type="dcterms:W3CDTF">2021-12-16T14:18:34Z</dcterms:created>
  <dcterms:modified xsi:type="dcterms:W3CDTF">2026-03-23T18:54:29Z</dcterms:modified>
</cp:coreProperties>
</file>